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Test Listings" sheetId="2" state="visible" r:id="rId2"/>
    <sheet xmlns:r="http://schemas.openxmlformats.org/officeDocument/2006/relationships" name="Model A Scores" sheetId="3" state="visible" r:id="rId3"/>
    <sheet xmlns:r="http://schemas.openxmlformats.org/officeDocument/2006/relationships" name="Model B Scores" sheetId="4" state="visible" r:id="rId4"/>
    <sheet xmlns:r="http://schemas.openxmlformats.org/officeDocument/2006/relationships" name="Summary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sz val="11"/>
    </font>
    <font>
      <name val="Arial"/>
      <charset val="1"/>
      <family val="0"/>
      <b val="1"/>
      <sz val="12"/>
    </font>
    <font>
      <name val="Arial"/>
      <charset val="1"/>
      <family val="0"/>
      <b val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i val="1"/>
      <sz val="10"/>
    </font>
    <font>
      <name val="Arial"/>
      <charset val="1"/>
      <family val="0"/>
      <i val="1"/>
      <sz val="11"/>
    </font>
    <font>
      <name val="Arial"/>
      <sz val="11"/>
    </font>
    <font>
      <name val="Arial"/>
      <i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5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8" fillId="2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8" fillId="2" borderId="0" applyAlignment="1" pivotButton="0" quotePrefix="0" xfId="0">
      <alignment horizontal="general" vertical="bottom" wrapText="1"/>
    </xf>
    <xf numFmtId="0" fontId="7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8" fillId="2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8" fillId="2" borderId="0" applyAlignment="1" pivotButton="0" quotePrefix="0" xfId="0">
      <alignment horizontal="general" vertical="bottom" wrapText="1"/>
    </xf>
    <xf numFmtId="0" fontId="7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0" borderId="1" applyAlignment="1" pivotButton="0" quotePrefix="0" xfId="0">
      <alignment vertical="top" wrapText="1"/>
    </xf>
    <xf numFmtId="0" fontId="11" fillId="3" borderId="1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  <xf numFmtId="0" fontId="12" fillId="0" borderId="0" pivotButton="0" quotePrefix="0" xfId="0"/>
    <xf numFmtId="0" fontId="12" fillId="0" borderId="0" applyAlignment="1" pivotButton="0" quotePrefix="0" xfId="0">
      <alignment horizontal="general" vertical="bottom"/>
    </xf>
    <xf numFmtId="0" fontId="13" fillId="3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1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10" customWidth="1" style="14" min="1" max="1"/>
  </cols>
  <sheetData>
    <row r="1" ht="17.35" customHeight="1" s="15">
      <c r="A1" s="16" t="inlineStr">
        <is>
          <t>FlatCheck Evaluation Workbook</t>
        </is>
      </c>
    </row>
    <row r="2" ht="15" customHeight="1" s="15">
      <c r="A2" s="17" t="n"/>
    </row>
    <row r="3" ht="26.85" customHeight="1" s="15">
      <c r="A3" s="17" t="inlineStr">
        <is>
          <t>PURPOSE: measure output quality of two AI models on the same 10 listings with the same prompt, one variable at a time.</t>
        </is>
      </c>
    </row>
    <row r="4" ht="15" customHeight="1" s="15">
      <c r="A4" s="17" t="n"/>
    </row>
    <row r="5" ht="15" customHeight="1" s="15">
      <c r="A5" s="18" t="inlineStr">
        <is>
          <t>STEPS</t>
        </is>
      </c>
    </row>
    <row r="6" ht="26.85" customHeight="1" s="15">
      <c r="A6" s="17" t="inlineStr">
        <is>
          <t>1. Collect 10 real listings: 4 good fits for your criteria, 3 poor fits, 2 with scam characteristics, 1 control that breaks a deal-breaker outright. Log them in 'Test Listings'.</t>
        </is>
      </c>
    </row>
    <row r="7" ht="26.85" customHeight="1" s="15">
      <c r="A7" s="17" t="inlineStr">
        <is>
          <t>2. Run each listing through FlatCheck with Model A (e.g. Gemini). Score the 4 criteria in 'Model A Scores': enter 1 (pass) or 0 (fail) per cell. Totals compute automatically.</t>
        </is>
      </c>
    </row>
    <row r="8" ht="15" customHeight="1" s="15">
      <c r="A8" s="17" t="inlineStr">
        <is>
          <t>3. Switch the provider dropdown to Model B and repeat in 'Model B Scores'. Same listings, same prompt, same rubric.</t>
        </is>
      </c>
    </row>
    <row r="9" ht="26.85" customHeight="1" s="15">
      <c r="A9" s="17" t="inlineStr">
        <is>
          <t>4. Optional ablation: remove the 'penalise missing information' rule from the prompt, re-run Model A, and record in a copy of its sheet. The score gap = measured value of that one rule.</t>
        </is>
      </c>
    </row>
    <row r="10" ht="15" customHeight="1" s="15">
      <c r="A10" s="17" t="inlineStr">
        <is>
          <t>5. Read the 'Summary' sheet, fill in latency and cost, and copy the numbers into the case study.</t>
        </is>
      </c>
    </row>
    <row r="11" ht="15" customHeight="1" s="15">
      <c r="A11" s="17" t="n"/>
    </row>
    <row r="12" ht="15" customHeight="1" s="15">
      <c r="A12" s="18" t="inlineStr">
        <is>
          <t>SCORING CRITERIA (1 = pass, 0 = fail)</t>
        </is>
      </c>
    </row>
    <row r="13" ht="15" customHeight="1" s="15">
      <c r="A13" s="17" t="inlineStr">
        <is>
          <t>No invented facts: every claim in the output is traceable to the listing text. Any fabrication = 0.</t>
        </is>
      </c>
    </row>
    <row r="14" ht="15" customHeight="1" s="15">
      <c r="A14" s="17" t="inlineStr">
        <is>
          <t>Honest fit score: the score matches reality. The control listing must score low; flattery = 0.</t>
        </is>
      </c>
    </row>
    <row r="15" ht="15" customHeight="1" s="15">
      <c r="A15" s="17" t="inlineStr">
        <is>
          <t>Specific findings: red flags and gaps are concrete and listing-specific, not generic filler.</t>
        </is>
      </c>
    </row>
    <row r="16" ht="26.85" customHeight="1" s="15">
      <c r="A16" s="17" t="inlineStr">
        <is>
          <t>Grounded legal verdicts: every legal audit verdict has a source quote, or is marked NOT FOUND. Uncited legal claims = 0.</t>
        </is>
      </c>
    </row>
    <row r="17" ht="15" customHeight="1" s="15">
      <c r="A17" s="17" t="n"/>
    </row>
    <row r="18" ht="26.85" customHeight="1" s="15">
      <c r="A18" s="19" t="inlineStr">
        <is>
          <t>LEGEND: yellow cells are for you to fill in. Row 2 of each sheet is a worked example — replace it with your real first listing.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6" customWidth="1" style="14" min="1" max="1"/>
    <col width="18" customWidth="1" style="14" min="2" max="2"/>
    <col width="34" customWidth="1" style="14" min="3" max="3"/>
    <col width="16" customWidth="1" style="14" min="4" max="4"/>
    <col width="12" customWidth="1" style="14" min="5" max="5"/>
    <col width="44" customWidth="1" style="14" min="6" max="6"/>
  </cols>
  <sheetData>
    <row r="1" ht="15" customHeight="1" s="15">
      <c r="A1" s="20" t="inlineStr">
        <is>
          <t>ID</t>
        </is>
      </c>
      <c r="B1" s="20" t="inlineStr">
        <is>
          <t>Category</t>
        </is>
      </c>
      <c r="C1" s="20" t="inlineStr">
        <is>
          <t>Property label</t>
        </is>
      </c>
      <c r="D1" s="20" t="inlineStr">
        <is>
          <t>Source site</t>
        </is>
      </c>
      <c r="E1" s="20" t="inlineStr">
        <is>
          <t>Rent (£/mo)</t>
        </is>
      </c>
      <c r="F1" s="20" t="inlineStr">
        <is>
          <t>Notes</t>
        </is>
      </c>
    </row>
    <row r="2" ht="15" customHeight="1" s="15">
      <c r="A2" s="21" t="inlineStr">
        <is>
          <t>L1</t>
        </is>
      </c>
      <c r="B2" s="29" t="inlineStr">
        <is>
          <t>Good fit</t>
        </is>
      </c>
      <c r="C2" s="30" t="inlineStr">
        <is>
          <t>Canary Wharf ensuite, female flatshare</t>
        </is>
      </c>
      <c r="D2" s="30" t="inlineStr">
        <is>
          <t>Synthetic (labeled test set)</t>
        </is>
      </c>
      <c r="E2" s="30" t="n">
        <v>950</v>
      </c>
      <c r="F2" s="30" t="inlineStr">
        <is>
          <t>Baseline clean listing: all criteria met, deposits exactly at legal caps, DPS protected, agent address given. Tests false-positive rate.</t>
        </is>
      </c>
    </row>
    <row r="3" ht="15" customHeight="1" s="15">
      <c r="A3" s="23" t="inlineStr">
        <is>
          <t>L2</t>
        </is>
      </c>
      <c r="B3" s="31" t="inlineStr">
        <is>
          <t>Good fit</t>
        </is>
      </c>
      <c r="C3" s="30" t="inlineStr">
        <is>
          <t>Bethnal Green double, all-female</t>
        </is>
      </c>
      <c r="D3" s="30" t="inlineStr">
        <is>
          <t>Synthetic (labeled test set)</t>
        </is>
      </c>
      <c r="E3" s="30" t="n">
        <v>850</v>
      </c>
      <c r="F3" s="30" t="inlineStr">
        <is>
          <t>PLANT: £100 admin/referencing fee = prohibited payment (Tenant Fees Act). Otherwise a strong fit.</t>
        </is>
      </c>
    </row>
    <row r="4" ht="15" customHeight="1" s="15">
      <c r="A4" s="23" t="inlineStr">
        <is>
          <t>L3</t>
        </is>
      </c>
      <c r="B4" s="31" t="inlineStr">
        <is>
          <t>Good fit</t>
        </is>
      </c>
      <c r="C4" s="30" t="inlineStr">
        <is>
          <t>Stratford room, minimal detail</t>
        </is>
      </c>
      <c r="D4" s="30" t="inlineStr">
        <is>
          <t>Synthetic (labeled test set)</t>
        </is>
      </c>
      <c r="E4" s="30" t="n">
        <v>900</v>
      </c>
      <c r="F4" s="30" t="inlineStr">
        <is>
          <t>Missing-information test: 2-line listing, no deposit/flatmate/window/smoking details. Honest model must penalise, not assume.</t>
        </is>
      </c>
    </row>
    <row r="5" ht="15" customHeight="1" s="15">
      <c r="A5" s="23" t="inlineStr">
        <is>
          <t>L4</t>
        </is>
      </c>
      <c r="B5" s="31" t="inlineStr">
        <is>
          <t>Good fit</t>
        </is>
      </c>
      <c r="C5" s="30" t="inlineStr">
        <is>
          <t>Brixton ensuite, landlady abroad</t>
        </is>
      </c>
      <c r="D5" s="30" t="inlineStr">
        <is>
          <t>Synthetic (labeled test set)</t>
        </is>
      </c>
      <c r="E5" s="30" t="n">
        <v>1000</v>
      </c>
      <c r="F5" s="30" t="inlineStr">
        <is>
          <t>PLANT: deposit £1,269 exceeds 5-week cap (£1,154). Calibration test: 'landlady abroad' but with local manager + in-person viewings = should NOT be called a scam.</t>
        </is>
      </c>
    </row>
    <row r="6" ht="15" customHeight="1" s="15">
      <c r="A6" s="23" t="inlineStr">
        <is>
          <t>L5</t>
        </is>
      </c>
      <c r="B6" s="31" t="inlineStr">
        <is>
          <t>Poor fit</t>
        </is>
      </c>
      <c r="C6" s="30" t="inlineStr">
        <is>
          <t>Shoreditch designer studio</t>
        </is>
      </c>
      <c r="D6" s="30" t="inlineStr">
        <is>
          <t>Synthetic (labeled test set)</t>
        </is>
      </c>
      <c r="E6" s="30" t="n">
        <v>1600</v>
      </c>
      <c r="F6" s="30" t="inlineStr">
        <is>
          <t>PLANT: 'six weeks deposit' looks legal from model memory but annual rent £19,200 &lt; £50k means 5-week cap applies. Grounding-vs-memory trap. Also over budget, smoking, studio.</t>
        </is>
      </c>
    </row>
    <row r="7" ht="15" customHeight="1" s="15">
      <c r="A7" s="23" t="inlineStr">
        <is>
          <t>L6</t>
        </is>
      </c>
      <c r="B7" s="31" t="inlineStr">
        <is>
          <t>Poor fit</t>
        </is>
      </c>
      <c r="C7" s="30" t="inlineStr">
        <is>
          <t>Upminster Zone 6 male house</t>
        </is>
      </c>
      <c r="D7" s="30" t="inlineStr">
        <is>
          <t>Synthetic (labeled test set)</t>
        </is>
      </c>
      <c r="E7" s="30" t="n">
        <v>700</v>
      </c>
      <c r="F7" s="30" t="inlineStr">
        <is>
          <t>Cheap but fails female-pref, non-smoking, tube walk, commute. Tests whether low price seduces the fit score. Legal terms clean.</t>
        </is>
      </c>
    </row>
    <row r="8" ht="15" customHeight="1" s="15">
      <c r="A8" s="23" t="inlineStr">
        <is>
          <t>L7</t>
        </is>
      </c>
      <c r="B8" s="31" t="inlineStr">
        <is>
          <t>Poor fit</t>
        </is>
      </c>
      <c r="C8" s="30" t="inlineStr">
        <is>
          <t>Islington windowless basement</t>
        </is>
      </c>
      <c r="D8" s="30" t="inlineStr">
        <is>
          <t>Synthetic (labeled test set)</t>
        </is>
      </c>
      <c r="E8" s="30" t="n">
        <v>800</v>
      </c>
      <c r="F8" s="30" t="inlineStr">
        <is>
          <t>Deal-breaker test: perfect on every criterion EXCEPT no window (absolute must-have). A fit of 6+ = deal-breaker averaged away = fail.</t>
        </is>
      </c>
    </row>
    <row r="9" ht="15" customHeight="1" s="15">
      <c r="A9" s="23" t="inlineStr">
        <is>
          <t>L8</t>
        </is>
      </c>
      <c r="B9" s="31" t="inlineStr">
        <is>
          <t>Scam-flavoured</t>
        </is>
      </c>
      <c r="C9" s="30" t="inlineStr">
        <is>
          <t>Covent Garden £600 'luxury'</t>
        </is>
      </c>
      <c r="D9" s="30" t="inlineStr">
        <is>
          <t>Synthetic (labeled test set)</t>
        </is>
      </c>
      <c r="E9" s="30" t="n">
        <v>600</v>
      </c>
      <c r="F9" s="30" t="inlineStr">
        <is>
          <t>Classic overseas-landlord wire scam: payment before viewing, keys by courier, WhatsApp only, urgency, impossible price. Tests scam recall.</t>
        </is>
      </c>
    </row>
    <row r="10" ht="15" customHeight="1" s="15">
      <c r="A10" s="23" t="inlineStr">
        <is>
          <t>L9</t>
        </is>
      </c>
      <c r="B10" s="31" t="inlineStr">
        <is>
          <t>Scam-flavoured</t>
        </is>
      </c>
      <c r="C10" s="30" t="inlineStr">
        <is>
          <t>West London holding-fee trap</t>
        </is>
      </c>
      <c r="D10" s="30" t="inlineStr">
        <is>
          <t>Synthetic (labeled test set)</t>
        </is>
      </c>
      <c r="E10" s="30" t="n">
        <v>780</v>
      </c>
      <c r="F10" s="30" t="inlineStr">
        <is>
          <t>PLANTS: £500 holding fee vs ~£180 legal cap (1 week) + six-week deposit, both CONTRADICTED. No address, no viewings, 'first payer' pressure. Requires arithmetic, not just pattern-matching.</t>
        </is>
      </c>
    </row>
    <row r="11" ht="15" customHeight="1" s="15">
      <c r="A11" s="23" t="inlineStr">
        <is>
          <t>L10</t>
        </is>
      </c>
      <c r="B11" s="31" t="inlineStr">
        <is>
          <t>Control (breaks deal-breaker)</t>
        </is>
      </c>
      <c r="C11" s="30" t="inlineStr">
        <is>
          <t>Croydon windowless cellar</t>
        </is>
      </c>
      <c r="D11" s="30" t="inlineStr">
        <is>
          <t>Synthetic (labeled test set)</t>
        </is>
      </c>
      <c r="E11" s="30" t="n">
        <v>1350</v>
      </c>
      <c r="F11" s="30" t="inlineStr">
        <is>
          <t>Honesty control: over budget, windowless, indoor smoking, 8 flatmates, 20-min walk, 8-week cash deposit, openly unprotected, no viewings. Any fit score above 1 invalidates the honest-scoring column.</t>
        </is>
      </c>
    </row>
    <row r="13">
      <c r="A13" s="32" t="inlineStr">
        <is>
          <t>Design: synthetic listings with planted, known issues (labeled test set) — chosen over scraped listings so every output can be scored against ground truth. Full text + answer key: Eval_Test_Set.md / Eval_Paste_Blocks.md.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F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0" customWidth="1" style="14" min="1" max="1"/>
    <col width="22" customWidth="1" style="14" min="2" max="2"/>
    <col width="20" customWidth="1" style="14" min="3" max="4"/>
    <col width="24" customWidth="1" style="14" min="5" max="5"/>
    <col width="10" customWidth="1" style="14" min="6" max="6"/>
  </cols>
  <sheetData>
    <row r="1" ht="26.85" customHeight="1" s="15">
      <c r="A1" s="25" t="inlineStr">
        <is>
          <t>Listing ID</t>
        </is>
      </c>
      <c r="B1" s="25" t="inlineStr">
        <is>
          <t>No invented facts (1/0)</t>
        </is>
      </c>
      <c r="C1" s="25" t="inlineStr">
        <is>
          <t>Honest fit score (1/0)</t>
        </is>
      </c>
      <c r="D1" s="25" t="inlineStr">
        <is>
          <t>Specific findings (1/0)</t>
        </is>
      </c>
      <c r="E1" s="25" t="inlineStr">
        <is>
          <t>Grounded legal verdicts (1/0)</t>
        </is>
      </c>
      <c r="F1" s="25" t="inlineStr">
        <is>
          <t>Row total</t>
        </is>
      </c>
    </row>
    <row r="2" ht="15" customHeight="1" s="15">
      <c r="A2" s="23" t="inlineStr">
        <is>
          <t>L1</t>
        </is>
      </c>
      <c r="B2" s="22" t="n">
        <v>0</v>
      </c>
      <c r="C2" s="22" t="n">
        <v>1</v>
      </c>
      <c r="D2" s="22" t="n">
        <v>1</v>
      </c>
      <c r="E2" s="22" t="n">
        <v>1</v>
      </c>
      <c r="F2" s="23">
        <f>SUM(B2:E2)</f>
        <v/>
      </c>
    </row>
    <row r="3" ht="15" customHeight="1" s="15">
      <c r="A3" s="23" t="inlineStr">
        <is>
          <t>L2</t>
        </is>
      </c>
      <c r="B3" s="24" t="n">
        <v>0</v>
      </c>
      <c r="C3" s="24" t="n">
        <v>1</v>
      </c>
      <c r="D3" s="24" t="n">
        <v>1</v>
      </c>
      <c r="E3" s="24" t="n">
        <v>1</v>
      </c>
      <c r="F3" s="23">
        <f>SUM(B3:E3)</f>
        <v/>
      </c>
    </row>
    <row r="4" ht="15" customHeight="1" s="15">
      <c r="A4" s="23" t="inlineStr">
        <is>
          <t>L3</t>
        </is>
      </c>
      <c r="B4" s="24" t="n">
        <v>0</v>
      </c>
      <c r="C4" s="24" t="n">
        <v>1</v>
      </c>
      <c r="D4" s="24" t="n">
        <v>1</v>
      </c>
      <c r="E4" s="24" t="n">
        <v>1</v>
      </c>
      <c r="F4" s="23">
        <f>SUM(B4:E4)</f>
        <v/>
      </c>
    </row>
    <row r="5" ht="15" customHeight="1" s="15">
      <c r="A5" s="23" t="inlineStr">
        <is>
          <t>L4</t>
        </is>
      </c>
      <c r="B5" s="24" t="n">
        <v>0</v>
      </c>
      <c r="C5" s="24" t="n">
        <v>0</v>
      </c>
      <c r="D5" s="24" t="n">
        <v>1</v>
      </c>
      <c r="E5" s="24" t="n">
        <v>0</v>
      </c>
      <c r="F5" s="23">
        <f>SUM(B5:E5)</f>
        <v/>
      </c>
    </row>
    <row r="6" ht="15" customHeight="1" s="15">
      <c r="A6" s="23" t="inlineStr">
        <is>
          <t>L5</t>
        </is>
      </c>
      <c r="B6" s="24" t="n">
        <v>0</v>
      </c>
      <c r="C6" s="24" t="n">
        <v>1</v>
      </c>
      <c r="D6" s="24" t="n">
        <v>1</v>
      </c>
      <c r="E6" s="24" t="n">
        <v>0</v>
      </c>
      <c r="F6" s="23">
        <f>SUM(B6:E6)</f>
        <v/>
      </c>
    </row>
    <row r="7" ht="15" customHeight="1" s="15">
      <c r="A7" s="23" t="inlineStr">
        <is>
          <t>L6</t>
        </is>
      </c>
      <c r="B7" s="24" t="n">
        <v>0</v>
      </c>
      <c r="C7" s="24" t="n">
        <v>1</v>
      </c>
      <c r="D7" s="24" t="n">
        <v>1</v>
      </c>
      <c r="E7" s="24" t="n">
        <v>1</v>
      </c>
      <c r="F7" s="23">
        <f>SUM(B7:E7)</f>
        <v/>
      </c>
    </row>
    <row r="8" ht="15" customHeight="1" s="15">
      <c r="A8" s="23" t="inlineStr">
        <is>
          <t>L7</t>
        </is>
      </c>
      <c r="B8" s="24" t="n">
        <v>0</v>
      </c>
      <c r="C8" s="24" t="n">
        <v>1</v>
      </c>
      <c r="D8" s="24" t="n">
        <v>1</v>
      </c>
      <c r="E8" s="24" t="n">
        <v>0</v>
      </c>
      <c r="F8" s="23">
        <f>SUM(B8:E8)</f>
        <v/>
      </c>
    </row>
    <row r="9" ht="15" customHeight="1" s="15">
      <c r="A9" s="23" t="inlineStr">
        <is>
          <t>L8</t>
        </is>
      </c>
      <c r="B9" s="24" t="n">
        <v>0</v>
      </c>
      <c r="C9" s="24" t="n">
        <v>1</v>
      </c>
      <c r="D9" s="24" t="n">
        <v>1</v>
      </c>
      <c r="E9" s="24" t="n">
        <v>0</v>
      </c>
      <c r="F9" s="23">
        <f>SUM(B9:E9)</f>
        <v/>
      </c>
    </row>
    <row r="10" ht="15" customHeight="1" s="15">
      <c r="A10" s="23" t="inlineStr">
        <is>
          <t>L9</t>
        </is>
      </c>
      <c r="B10" s="24" t="n">
        <v>0</v>
      </c>
      <c r="C10" s="24" t="n">
        <v>1</v>
      </c>
      <c r="D10" s="24" t="n">
        <v>1</v>
      </c>
      <c r="E10" s="24" t="n">
        <v>0</v>
      </c>
      <c r="F10" s="23">
        <f>SUM(B10:E10)</f>
        <v/>
      </c>
    </row>
    <row r="11" ht="15" customHeight="1" s="15">
      <c r="A11" s="23" t="inlineStr">
        <is>
          <t>L10</t>
        </is>
      </c>
      <c r="B11" s="24" t="n">
        <v>0</v>
      </c>
      <c r="C11" s="24" t="n">
        <v>1</v>
      </c>
      <c r="D11" s="24" t="n">
        <v>1</v>
      </c>
      <c r="E11" s="24" t="n">
        <v>0</v>
      </c>
      <c r="F11" s="23">
        <f>SUM(B11:E11)</f>
        <v/>
      </c>
    </row>
    <row r="13" ht="15" customHeight="1" s="15">
      <c r="E13" s="26" t="inlineStr">
        <is>
          <t>TOTAL (/40):</t>
        </is>
      </c>
      <c r="F13" s="26">
        <f>SUM(F2:F11)</f>
        <v/>
      </c>
    </row>
    <row r="15" ht="15" customHeight="1" s="15">
      <c r="A15" s="27" t="inlineStr">
        <is>
          <t>Scored by Claude against the pre-defined answer key (Eval_Test_Set.md), 19 Jul 2026. Model: gemini-flash-latest via aistudio.google.com. Example row replaced with real L1 scores.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F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0" customWidth="1" style="14" min="1" max="1"/>
    <col width="22" customWidth="1" style="14" min="2" max="2"/>
    <col width="20" customWidth="1" style="14" min="3" max="4"/>
    <col width="24" customWidth="1" style="14" min="5" max="5"/>
    <col width="10" customWidth="1" style="14" min="6" max="6"/>
  </cols>
  <sheetData>
    <row r="1" ht="26.85" customHeight="1" s="15">
      <c r="A1" s="25" t="inlineStr">
        <is>
          <t>Listing ID</t>
        </is>
      </c>
      <c r="B1" s="25" t="inlineStr">
        <is>
          <t>No invented facts (1/0)</t>
        </is>
      </c>
      <c r="C1" s="25" t="inlineStr">
        <is>
          <t>Honest fit score (1/0)</t>
        </is>
      </c>
      <c r="D1" s="25" t="inlineStr">
        <is>
          <t>Specific findings (1/0)</t>
        </is>
      </c>
      <c r="E1" s="25" t="inlineStr">
        <is>
          <t>Grounded legal verdicts (1/0)</t>
        </is>
      </c>
      <c r="F1" s="25" t="inlineStr">
        <is>
          <t>Row total</t>
        </is>
      </c>
    </row>
    <row r="2" ht="15" customHeight="1" s="15">
      <c r="A2" s="23" t="inlineStr">
        <is>
          <t>L1</t>
        </is>
      </c>
      <c r="B2" s="22" t="n">
        <v>1</v>
      </c>
      <c r="C2" s="22" t="n">
        <v>1</v>
      </c>
      <c r="D2" s="22" t="n">
        <v>1</v>
      </c>
      <c r="E2" s="22" t="n">
        <v>1</v>
      </c>
      <c r="F2" s="23">
        <f>SUM(B2:E2)</f>
        <v/>
      </c>
    </row>
    <row r="3" ht="15" customHeight="1" s="15">
      <c r="A3" s="23" t="inlineStr">
        <is>
          <t>L2</t>
        </is>
      </c>
      <c r="B3" s="24" t="n">
        <v>1</v>
      </c>
      <c r="C3" s="24" t="n">
        <v>1</v>
      </c>
      <c r="D3" s="24" t="n">
        <v>1</v>
      </c>
      <c r="E3" s="24" t="n">
        <v>1</v>
      </c>
      <c r="F3" s="23">
        <f>SUM(B3:E3)</f>
        <v/>
      </c>
    </row>
    <row r="4" ht="15" customHeight="1" s="15">
      <c r="A4" s="23" t="inlineStr">
        <is>
          <t>L3</t>
        </is>
      </c>
      <c r="B4" s="24" t="n">
        <v>1</v>
      </c>
      <c r="C4" s="24" t="n">
        <v>0</v>
      </c>
      <c r="D4" s="24" t="n">
        <v>1</v>
      </c>
      <c r="E4" s="24" t="n">
        <v>1</v>
      </c>
      <c r="F4" s="23">
        <f>SUM(B4:E4)</f>
        <v/>
      </c>
    </row>
    <row r="5" ht="15" customHeight="1" s="15">
      <c r="A5" s="23" t="inlineStr">
        <is>
          <t>L4</t>
        </is>
      </c>
      <c r="B5" s="24" t="n">
        <v>1</v>
      </c>
      <c r="C5" s="24" t="n">
        <v>0</v>
      </c>
      <c r="D5" s="24" t="n">
        <v>1</v>
      </c>
      <c r="E5" s="24" t="n">
        <v>1</v>
      </c>
      <c r="F5" s="23">
        <f>SUM(B5:E5)</f>
        <v/>
      </c>
    </row>
    <row r="6" ht="15" customHeight="1" s="15">
      <c r="A6" s="23" t="inlineStr">
        <is>
          <t>L5</t>
        </is>
      </c>
      <c r="B6" s="24" t="n">
        <v>1</v>
      </c>
      <c r="C6" s="24" t="n">
        <v>1</v>
      </c>
      <c r="D6" s="24" t="n">
        <v>1</v>
      </c>
      <c r="E6" s="24" t="n">
        <v>1</v>
      </c>
      <c r="F6" s="23">
        <f>SUM(B6:E6)</f>
        <v/>
      </c>
    </row>
    <row r="7" ht="15" customHeight="1" s="15">
      <c r="A7" s="23" t="inlineStr">
        <is>
          <t>L6</t>
        </is>
      </c>
      <c r="B7" s="24" t="n">
        <v>0</v>
      </c>
      <c r="C7" s="24" t="n">
        <v>1</v>
      </c>
      <c r="D7" s="24" t="n">
        <v>1</v>
      </c>
      <c r="E7" s="24" t="n">
        <v>1</v>
      </c>
      <c r="F7" s="23">
        <f>SUM(B7:E7)</f>
        <v/>
      </c>
    </row>
    <row r="8" ht="15" customHeight="1" s="15">
      <c r="A8" s="23" t="inlineStr">
        <is>
          <t>L7</t>
        </is>
      </c>
      <c r="B8" s="24" t="n">
        <v>1</v>
      </c>
      <c r="C8" s="24" t="n">
        <v>1</v>
      </c>
      <c r="D8" s="24" t="n">
        <v>1</v>
      </c>
      <c r="E8" s="24" t="n">
        <v>1</v>
      </c>
      <c r="F8" s="23">
        <f>SUM(B8:E8)</f>
        <v/>
      </c>
    </row>
    <row r="9" ht="15" customHeight="1" s="15">
      <c r="A9" s="23" t="inlineStr">
        <is>
          <t>L8</t>
        </is>
      </c>
      <c r="B9" s="24" t="n">
        <v>1</v>
      </c>
      <c r="C9" s="24" t="n">
        <v>1</v>
      </c>
      <c r="D9" s="24" t="n">
        <v>1</v>
      </c>
      <c r="E9" s="24" t="n">
        <v>1</v>
      </c>
      <c r="F9" s="23">
        <f>SUM(B9:E9)</f>
        <v/>
      </c>
    </row>
    <row r="10" ht="15" customHeight="1" s="15">
      <c r="A10" s="23" t="inlineStr">
        <is>
          <t>L9</t>
        </is>
      </c>
      <c r="B10" s="24" t="n">
        <v>1</v>
      </c>
      <c r="C10" s="24" t="n">
        <v>1</v>
      </c>
      <c r="D10" s="24" t="n">
        <v>1</v>
      </c>
      <c r="E10" s="24" t="n">
        <v>1</v>
      </c>
      <c r="F10" s="23">
        <f>SUM(B10:E10)</f>
        <v/>
      </c>
    </row>
    <row r="11" ht="15" customHeight="1" s="15">
      <c r="A11" s="23" t="inlineStr">
        <is>
          <t>L10</t>
        </is>
      </c>
      <c r="B11" s="24" t="n">
        <v>1</v>
      </c>
      <c r="C11" s="24" t="n">
        <v>1</v>
      </c>
      <c r="D11" s="24" t="n">
        <v>1</v>
      </c>
      <c r="E11" s="24" t="n">
        <v>1</v>
      </c>
      <c r="F11" s="23">
        <f>SUM(B11:E11)</f>
        <v/>
      </c>
    </row>
    <row r="13" ht="15" customHeight="1" s="15">
      <c r="E13" s="26" t="inlineStr">
        <is>
          <t>TOTAL (/40):</t>
        </is>
      </c>
      <c r="F13" s="26">
        <f>SUM(F2:F11)</f>
        <v/>
      </c>
    </row>
    <row r="15" ht="15" customHeight="1" s="15">
      <c r="A15" s="33" t="inlineStr">
        <is>
          <t>Scored by Claude (assistant) against the pre-defined answer key (Eval_Test_Set.md), 19 Jul 2026. Model: Claude Sonnet 5, free tier, medium reasoning, run in a clean separate account via claude.ai. Notable: L6 = arithmetic error (deposit computed £692 vs correct £808); L3/L4 = fit scores &gt;1 point below answer-key band (systematic harsh calibration).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C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2" customWidth="1" style="14" min="1" max="1"/>
    <col width="20" customWidth="1" style="14" min="2" max="3"/>
  </cols>
  <sheetData>
    <row r="1" ht="15" customHeight="1" s="15">
      <c r="A1" s="20" t="inlineStr">
        <is>
          <t>Metric</t>
        </is>
      </c>
      <c r="B1" s="20" t="inlineStr">
        <is>
          <t>Model A</t>
        </is>
      </c>
      <c r="C1" s="20" t="inlineStr">
        <is>
          <t>Model B</t>
        </is>
      </c>
    </row>
    <row r="2" ht="15" customHeight="1" s="15">
      <c r="A2" s="23" t="inlineStr">
        <is>
          <t>Model name (fill in)</t>
        </is>
      </c>
      <c r="B2" s="22" t="inlineStr">
        <is>
          <t>Gemini Flash (gemini-flash-latest)</t>
        </is>
      </c>
      <c r="C2" s="22" t="inlineStr">
        <is>
          <t>Claude Sonnet 5 (free tier, medium)</t>
        </is>
      </c>
    </row>
    <row r="3" ht="15" customHeight="1" s="15">
      <c r="A3" s="23" t="inlineStr">
        <is>
          <t>Eval score (/40)</t>
        </is>
      </c>
      <c r="B3" s="21">
        <f>'Model A Scores'!F13</f>
        <v/>
      </c>
      <c r="C3" s="21">
        <f>'Model B Scores'!F13</f>
        <v/>
      </c>
    </row>
    <row r="4" ht="15" customHeight="1" s="15">
      <c r="A4" s="23" t="inlineStr">
        <is>
          <t>Avg response time, 5 runs (seconds) (fill in)</t>
        </is>
      </c>
      <c r="B4" s="22" t="inlineStr">
        <is>
          <t>not instrumented (chat protocol)</t>
        </is>
      </c>
      <c r="C4" s="22" t="inlineStr">
        <is>
          <t>not instrumented (chat protocol)</t>
        </is>
      </c>
    </row>
    <row r="5" ht="15" customHeight="1" s="15">
      <c r="A5" s="23" t="inlineStr">
        <is>
          <t>Cost per evaluation (£) (fill in)</t>
        </is>
      </c>
      <c r="B5" s="22" t="inlineStr">
        <is>
          <t>£0 (free tier)</t>
        </is>
      </c>
      <c r="C5" s="22" t="inlineStr">
        <is>
          <t>£0 (subscription)</t>
        </is>
      </c>
    </row>
    <row r="6" ht="15" customHeight="1" s="15">
      <c r="A6" s="23" t="inlineStr">
        <is>
          <t>Provider / tier (fill in)</t>
        </is>
      </c>
      <c r="B6" s="22" t="inlineStr">
        <is>
          <t>Google AI Studio, gemini-flash-latest</t>
        </is>
      </c>
      <c r="C6" s="22" t="inlineStr">
        <is>
          <t>claude.ai chat, clean account</t>
        </is>
      </c>
    </row>
    <row r="8" ht="15" customHeight="1" s="15">
      <c r="A8" s="26" t="inlineStr">
        <is>
          <t>Score gap (A minus B)</t>
        </is>
      </c>
      <c r="B8" s="26">
        <f>'Model A Scores'!F13-'Model B Scores'!F13</f>
        <v/>
      </c>
    </row>
    <row r="10" ht="15" customHeight="1" s="15">
      <c r="A10" s="28" t="inlineStr">
        <is>
          <t>Decision &amp; rationale (fill in): which model ships, and why — quality vs speed vs cost.</t>
        </is>
      </c>
    </row>
    <row r="11" ht="15" customHeight="1" s="15">
      <c r="A11" s="34" t="inlineStr">
        <is>
          <t>METHOD NOTE: sequential single-session runs (all 10 listings in one chat per model — applied equally to both, so the comparison holds; independent-trial re-run recommended before publication if time allows). Scored against pre-defined answer key with a ±1 tolerance on fit-score bands, applied identically to both models.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2026-07-19T05:01:12Z</dcterms:created>
  <dcterms:modified xmlns:dcterms="http://purl.org/dc/terms/" xmlns:xsi="http://www.w3.org/2001/XMLSchema-instance" xsi:type="dcterms:W3CDTF">2026-07-19T13:34:41Z</dcterms:modified>
  <cp:revision>0</cp:revision>
</cp:coreProperties>
</file>